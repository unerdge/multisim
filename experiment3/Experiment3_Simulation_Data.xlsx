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151995148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三汇总" sheetId="1" r:id="Re748187e39674e18"/>
    <x:sheet xmlns:r="http://schemas.openxmlformats.org/officeDocument/2006/relationships" name="最大功率扫描" sheetId="2" r:id="R55f324b31df4493a"/>
    <x:sheet xmlns:r="http://schemas.openxmlformats.org/officeDocument/2006/relationships" name="文件与说明" sheetId="3" r:id="Rfa282b6b2f24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"/>
    <x:numFmt numFmtId="202" formatCode="0.000000E+00"/>
    <x:numFmt numFmtId="203" formatCode="0.00%"/>
    <x:numFmt numFmtId="204" formatCode="0.0000"/>
  </x:numFmts>
  <x:fonts count="8">
    <x:font>
      <x:sz val="11"/>
      <x:name val="Carlito"/>
    </x:font>
    <x:font>
      <x:sz val="10"/>
      <x:name val="Microsoft YaHei"/>
    </x:font>
    <x:font>
      <x:b/>
      <x:sz val="14"/>
      <x:color rgb="FFFFFFFF"/>
      <x:name val="Microsoft YaHei"/>
    </x:font>
    <x:font>
      <x:i/>
      <x:sz val="9"/>
      <x:color rgb="FF404040"/>
      <x:name val="Microsoft YaHei"/>
    </x:font>
    <x:font>
      <x:b/>
      <x:sz val="10"/>
      <x:color rgb="FF1F1F1F"/>
      <x:name val="Microsoft YaHei"/>
    </x:font>
    <x:font>
      <x:b/>
      <x:sz val="10"/>
      <x:color rgb="FFFFFFFF"/>
      <x:name val="Microsoft YaHei"/>
    </x:font>
    <x:font>
      <x:b/>
      <x:sz val="10"/>
      <x:name val="Microsoft YaHei"/>
    </x:font>
    <x:font>
      <x:i/>
      <x:sz val="10"/>
      <x:color rgb="FF404040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4F8FB"/>
      </x:patternFill>
    </x:fill>
  </x:fills>
  <x:borders count="1">
    <x:border/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203" fontId="1" fillId="5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/>
    <x:xf numFmtId="201" fontId="1" fillId="6" borderId="0" xfId="0" applyNumberFormat="1" applyFont="1" applyFill="1" applyBorder="1"/>
    <x:xf numFmtId="202" fontId="1" fillId="6" borderId="0" xfId="0" applyNumberFormat="1" applyFont="1" applyFill="1" applyBorder="1"/>
    <x:xf numFmtId="0" fontId="1" fillId="6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2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ac57481fb4e0e" /><Relationship Type="http://schemas.openxmlformats.org/officeDocument/2006/relationships/theme" Target="/xl/theme/theme1.xml" Id="R45de2b925af647c9" /><Relationship Type="http://schemas.openxmlformats.org/officeDocument/2006/relationships/sharedStrings" Target="/xl/sharedStrings.xml" Id="Rb64b9342ae4b475f" /><Relationship Type="http://schemas.openxmlformats.org/officeDocument/2006/relationships/worksheet" Target="/xl/worksheets/sheet1.xml" Id="Re748187e39674e18" /><Relationship Type="http://schemas.openxmlformats.org/officeDocument/2006/relationships/worksheet" Target="/xl/worksheets/sheet2.xml" Id="R55f324b31df4493a" /><Relationship Type="http://schemas.openxmlformats.org/officeDocument/2006/relationships/worksheet" Target="/xl/worksheets/sheet3.xml" Id="Rfa282b6b2f2445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a07f1c9df342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负载电阻与功率 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UL,rms (V)</c:v>
          </c:tx>
          <c:marker>
            <c:symbol val="none"/>
          </c:marker>
          <c:cat>
            <c:strRef>
              <c:f>'最大功率扫描'!$B$5:$B$14</c:f>
              <c:strCache>
                <c:ptCount val="0"/>
              </c:strCache>
            </c:strRef>
          </c:cat>
          <c:val>
            <c:numRef>
              <c:f>'最大功率扫描'!$C$5:$C$14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IL,rms (A)</c:v>
          </c:tx>
          <c:marker>
            <c:symbol val="none"/>
          </c:marker>
          <c:cat>
            <c:strRef>
              <c:f>'最大功率扫描'!$B$5:$B$14</c:f>
              <c:strCache>
                <c:ptCount val="0"/>
              </c:strCache>
            </c:strRef>
          </c:cat>
          <c:val>
            <c:numRef>
              <c:f>'最大功率扫描'!$D$5:$D$14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 (W)</c:v>
          </c:tx>
          <c:marker>
            <c:symbol val="none"/>
          </c:marker>
          <c:cat>
            <c:strRef>
              <c:f>'最大功率扫描'!$B$5:$B$14</c:f>
              <c:strCache>
                <c:ptCount val="0"/>
              </c:strCache>
            </c:strRef>
          </c:cat>
          <c:val>
            <c:numRef>
              <c:f>'最大功率扫描'!$E$5:$E$14</c:f>
              <c:numCache>
                <c:formatCode>0.000000E+00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Rload (Ω)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UL / IL / P</a:t>
                </a:r>
              </a:p>
            </c:rich>
          </c:tx>
          <c:overlay val="0"/>
        </c:title>
        <c:numFmt formatCode="0.0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a07f1c9df342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d85bae914054c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7" t="str">
        <x:v>实验三：互感电压测试及最大功率传输（仿真数据）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0" t="str">
        <x:v>来源：D:\vscode\multisim\ExperimentGuide.pdf；数据由 NI Multisim 14.3 瞬态分析导出并按末 20% 周期计算 RMS。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8" t="str">
        <x:v>3-1 自感测量（交流电压比法）</x:v>
      </x:c>
      <x:c r="B4" s="58"/>
      <x:c r="C4" s="58"/>
      <x:c r="D4" s="58"/>
      <x:c r="E4" s="58"/>
      <x:c r="F4" s="58"/>
      <x:c r="G4" s="58"/>
      <x:c r="H4" s="58"/>
      <x:c r="I4" s="5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15" t="str">
        <x:v>案例</x:v>
      </x:c>
      <x:c r="B5" s="15" t="str">
        <x:v>线圈/条件</x:v>
      </x:c>
      <x:c r="C5" s="15" t="str">
        <x:v>R (Ω)</x:v>
      </x:c>
      <x:c r="D5" s="15" t="str">
        <x:v>f (Hz)</x:v>
      </x:c>
      <x:c r="E5" s="15" t="str">
        <x:v>Us,rms (V)</x:v>
      </x:c>
      <x:c r="F5" s="15" t="str">
        <x:v>UR,rms (V)</x:v>
      </x:c>
      <x:c r="G5" s="15" t="str">
        <x:v>UL,rms (V)</x:v>
      </x:c>
      <x:c r="H5" s="15" t="str">
        <x:v>理论 L (H)</x:v>
      </x:c>
      <x:c r="I5" s="15" t="str">
        <x:v>测量 L (H)</x:v>
      </x:c>
      <x:c r="J5" s="15" t="str">
        <x:v>误差</x:v>
      </x:c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9" t="str">
        <x:v>Self_Air_Coreless</x:v>
      </x:c>
      <x:c r="B6" s="59" t="str">
        <x:v>空心线圈(15匝等效)</x:v>
      </x:c>
      <x:c r="C6" s="60" t="n">
        <x:v>10</x:v>
      </x:c>
      <x:c r="D6" s="60" t="n">
        <x:v>10000</x:v>
      </x:c>
      <x:c r="E6" s="61" t="n">
        <x:v>0.9950151198529361</x:v>
      </x:c>
      <x:c r="F6" s="61" t="n">
        <x:v>0.9932021821270096</x:v>
      </x:c>
      <x:c r="G6" s="61" t="n">
        <x:v>0.06320506312544166</x:v>
      </x:c>
      <x:c r="H6" s="62" t="n">
        <x:v>0.00001</x:v>
      </x:c>
      <x:c r="I6" s="62" t="n">
        <x:f>C6*G6/(2*PI(D6)*F6)</x:f>
        <x:v>0.10128248211563973</x:v>
      </x:c>
      <x:c r="J6" s="63" t="n">
        <x:f>I6/H6-1</x:f>
        <x:v>10127.248211563972</x:v>
      </x:c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9" t="str">
        <x:v>Self_Core_Toroid</x:v>
      </x:c>
      <x:c r="B7" s="59" t="str">
        <x:v>磁环线圈(10匝等效)</x:v>
      </x:c>
      <x:c r="C7" s="60" t="n">
        <x:v>100</x:v>
      </x:c>
      <x:c r="D7" s="60" t="n">
        <x:v>10000</x:v>
      </x:c>
      <x:c r="E7" s="61" t="n">
        <x:v>0.9950151198529208</x:v>
      </x:c>
      <x:c r="F7" s="61" t="n">
        <x:v>0.9932021821266358</x:v>
      </x:c>
      <x:c r="G7" s="61" t="n">
        <x:v>0.06320506312541915</x:v>
      </x:c>
      <x:c r="H7" s="62" t="n">
        <x:v>0.0001</x:v>
      </x:c>
      <x:c r="I7" s="62" t="n">
        <x:f>C7*G7/(2*PI(D7)*F7)</x:f>
        <x:v>1.0128248211564177</x:v>
      </x:c>
      <x:c r="J7" s="63" t="n">
        <x:f>I7/H7-1</x:f>
        <x:v>10127.248211564176</x:v>
      </x:c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8" t="str">
        <x:v>3-3 互感电压与串联法</x:v>
      </x:c>
      <x:c r="B10" s="58"/>
      <x:c r="C10" s="58"/>
      <x:c r="D10" s="58"/>
      <x:c r="E10" s="58"/>
      <x:c r="F10" s="58"/>
      <x:c r="G10" s="58"/>
      <x:c r="H10" s="5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15" t="str">
        <x:v>案例</x:v>
      </x:c>
      <x:c r="B11" s="15" t="str">
        <x:v>方法/方向</x:v>
      </x:c>
      <x:c r="C11" s="15" t="str">
        <x:v>U1,rms (V)</x:v>
      </x:c>
      <x:c r="D11" s="15" t="str">
        <x:v>U2,rms (V)</x:v>
      </x:c>
      <x:c r="E11" s="15" t="str">
        <x:v>串联端电压 (V)</x:v>
      </x:c>
      <x:c r="F11" s="15" t="str">
        <x:v>I,rms (A)</x:v>
      </x:c>
      <x:c r="G11" s="15" t="str">
        <x:v>等效 L (H)</x:v>
      </x:c>
      <x:c r="H11" s="15" t="str">
        <x:v>说明</x:v>
      </x:c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 t="str">
        <x:v>Mutual_Open_Forward</x:v>
      </x:c>
      <x:c r="B12" s="48" t="str">
        <x:v>正向参考</x:v>
      </x:c>
      <x:c r="C12" s="64" t="n">
        <x:v>0.9948461536235309</x:v>
      </x:c>
      <x:c r="D12" s="64" t="n">
        <x:v>0.21370320729999284</x:v>
      </x:c>
      <x:c r="E12" s="64"/>
      <x:c r="F12" s="64"/>
      <x:c r="G12" s="48"/>
      <x:c r="H12" s="48" t="str">
        <x:v>RMS 只能比较幅值；同名端方向需看相位/极性。</x:v>
      </x:c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 t="str">
        <x:v>Mutual_Open_Reversed</x:v>
      </x:c>
      <x:c r="B13" s="48" t="str">
        <x:v>反向参考</x:v>
      </x:c>
      <x:c r="C13" s="64" t="n">
        <x:v>0.9948461536235309</x:v>
      </x:c>
      <x:c r="D13" s="64" t="n">
        <x:v>0.21370320729999284</x:v>
      </x:c>
      <x:c r="E13" s="64"/>
      <x:c r="F13" s="64"/>
      <x:c r="G13" s="48"/>
      <x:c r="H13" s="48" t="str">
        <x:v>反接模型与正向模型的互感电压幅值相同。</x:v>
      </x:c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 t="str">
        <x:v>Mutual_Series_Aiding</x:v>
      </x:c>
      <x:c r="B14" s="48" t="str">
        <x:v>正向串联</x:v>
      </x:c>
      <x:c r="C14" s="64"/>
      <x:c r="D14" s="64"/>
      <x:c r="E14" s="64" t="n">
        <x:v>0.7895892486499767</x:v>
      </x:c>
      <x:c r="F14" s="64" t="n">
        <x:v>0.06129197274596885</x:v>
      </x:c>
      <x:c r="G14" s="49" t="n">
        <x:v>0.00020503016350232342</x:v>
      </x:c>
      <x:c r="H14" s="48" t="str">
        <x:v>正向串联</x:v>
      </x:c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 t="str">
        <x:v>Mutual_Series_Opposing</x:v>
      </x:c>
      <x:c r="B15" s="48" t="str">
        <x:v>反向串联</x:v>
      </x:c>
      <x:c r="C15" s="64"/>
      <x:c r="D15" s="64"/>
      <x:c r="E15" s="64" t="n">
        <x:v>0.2740061552897715</x:v>
      </x:c>
      <x:c r="F15" s="64" t="n">
        <x:v>0.09579835321654069</x:v>
      </x:c>
      <x:c r="G15" s="49" t="n">
        <x:v>0.00004552211242441582</x:v>
      </x:c>
      <x:c r="H15" s="48" t="str">
        <x:v>反向串联</x:v>
      </x:c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15" t="str">
        <x:v>派生量</x:v>
      </x:c>
      <x:c r="B17" s="15" t="str">
        <x:v>公式/结果</x:v>
      </x:c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 t="str">
        <x:v>M（串联法）</x:v>
      </x:c>
      <x:c r="B18" s="49" t="n">
        <x:f>(G14-G15)/4</x:f>
        <x:v>0.0000398770127694769</x:v>
      </x:c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 t="str">
        <x:v>耦合系数 k</x:v>
      </x:c>
      <x:c r="B19" s="50" t="n">
        <x:f>B18/SQRT(0.0001*0.000025)</x:f>
        <x:v>0.797540255389538</x:v>
      </x:c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51" t="str">
        <x:v>结论</x:v>
      </x:c>
      <x:c r="B20" s="51" t="str">
        <x:v>串联正向等效电感大于反向，符合互感极性规律。</x:v>
      </x:c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65" t="str">
        <x:v>3-5 最大功率传输</x:v>
      </x:c>
      <x:c r="B23" s="65"/>
      <x:c r="C23" s="65"/>
      <x:c r="D23" s="65"/>
      <x:c r="E23" s="65"/>
      <x:c r="F23" s="65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15" t="str">
        <x:v>最佳负载 (Ω)</x:v>
      </x:c>
      <x:c r="B24" s="15" t="str">
        <x:v>UL,rms (V)</x:v>
      </x:c>
      <x:c r="C24" s="15" t="str">
        <x:v>IL,rms (A)</x:v>
      </x:c>
      <x:c r="D24" s="15" t="str">
        <x:v>Pmax (W)</x:v>
      </x:c>
      <x:c r="E24" s="15" t="str">
        <x:v>扫描点数</x:v>
      </x:c>
      <x:c r="F24" s="15" t="str">
        <x:v>判定</x:v>
      </x:c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66" t="n">
        <x:v>25</x:v>
      </x:c>
      <x:c r="B25" s="67" t="n">
        <x:v>0.2377567300095726</x:v>
      </x:c>
      <x:c r="C25" s="67" t="n">
        <x:f>B25/A25</x:f>
        <x:v>0.009510269200382903</x:v>
      </x:c>
      <x:c r="D25" s="68" t="n">
        <x:f>B25*C25</x:f>
        <x:v>0.0022611305065937917</x:v>
      </x:c>
      <x:c r="E25" s="51" t="n">
        <x:v>10</x:v>
      </x:c>
      <x:c r="F25" s="51" t="str">
        <x:v>P=UL×IL，最大点来自离散扫描</x:v>
      </x:c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58" t="str">
        <x:v>建模说明</x:v>
      </x:c>
      <x:c r="B28" s="58"/>
      <x:c r="C28" s="58"/>
      <x:c r="D28" s="58"/>
      <x:c r="E28" s="58"/>
      <x:c r="F28" s="58"/>
      <x:c r="G28" s="58"/>
      <x:c r="H28" s="58"/>
      <x:c r="I28" s="58"/>
      <x:c r="J28" s="5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69" t="str">
        <x:v>自感文件</x:v>
      </x:c>
      <x:c r="B29" s="48" t="str">
        <x:v>采用 RL+示波器模板，空心等效 L=10 µH、磁环等效 L=100 µH。</x:v>
      </x:c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69" t="str">
        <x:v>互感文件</x:v>
      </x:c>
      <x:c r="B30" s="48" t="str">
        <x:v>采用 NI TransformerModels 耦合电感/变压器模型，L1=100 µH、L2=25 µH、k=0.8。</x:v>
      </x:c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69" t="str">
        <x:v>功率扫描</x:v>
      </x:c>
      <x:c r="B31" s="48" t="str">
        <x:v>采用 300 Hz、1 Vrms 等效源，负载扫描 10–2000 Ω；结果用于观察峰值位置。</x:v>
      </x:c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73" t="str">
        <x:v>3-3-2 开路自感模型（L1/L2）</x:v>
      </x:c>
      <x:c r="B33" s="73"/>
      <x:c r="C33" s="73"/>
      <x:c r="D33" s="73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76" t="str">
        <x:v>绕组</x:v>
      </x:c>
      <x:c r="B34" s="76" t="str">
        <x:v>开路条件</x:v>
      </x:c>
      <x:c r="C34" s="76" t="str">
        <x:v>L（模型值，H）</x:v>
      </x:c>
      <x:c r="D34" s="76" t="str">
        <x:v>CSV 波形</x:v>
      </x:c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80" t="str">
        <x:v>L1</x:v>
      </x:c>
      <x:c r="B35" s="77" t="str">
        <x:v>L2 开路，300 Hz</x:v>
      </x:c>
      <x:c r="C35" s="78" t="n">
        <x:v>0.1</x:v>
      </x:c>
      <x:c r="D35" s="77" t="str">
        <x:v>Self_L1_Open.data.csv</x:v>
      </x:c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80" t="str">
        <x:v>L2</x:v>
      </x:c>
      <x:c r="B36" s="77" t="str">
        <x:v>L1 开路，300 Hz</x:v>
      </x:c>
      <x:c r="C36" s="78" t="n">
        <x:v>0.025</x:v>
      </x:c>
      <x:c r="D36" s="77" t="str">
        <x:v>Self_L2_Open.data.csv</x:v>
      </x:c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</x:sheetData>
  <x:mergeCells>
    <x:mergeCell ref="A1:J1"/>
    <x:mergeCell ref="A2:J2"/>
    <x:mergeCell ref="A4:I4"/>
    <x:mergeCell ref="A10:H10"/>
    <x:mergeCell ref="A23:F23"/>
    <x:mergeCell ref="A28:J28"/>
    <x:mergeCell ref="B29:J29"/>
    <x:mergeCell ref="B30:J30"/>
    <x:mergeCell ref="B31:J31"/>
    <x:mergeCell ref="A33:D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57" t="str">
        <x:v>3-5 最大功率传输：负载扫描</x:v>
      </x:c>
      <x:c r="B1" s="57"/>
      <x:c r="C1" s="57"/>
      <x:c r="D1" s="57"/>
      <x:c r="E1" s="57"/>
      <x:c r="F1" s="57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71" t="str">
        <x:v>电流按 IL=UL/Rload 计算，功率按 P=UL×IL 计算。</x:v>
      </x:c>
      <x:c r="B2" s="71"/>
      <x:c r="C2" s="71"/>
      <x:c r="D2" s="71"/>
      <x:c r="E2" s="71"/>
      <x:c r="F2" s="71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15" t="str">
        <x:v>案例</x:v>
      </x:c>
      <x:c r="B4" s="15" t="str">
        <x:v>Rload (Ω)</x:v>
      </x:c>
      <x:c r="C4" s="15" t="str">
        <x:v>UL,rms (V)</x:v>
      </x:c>
      <x:c r="D4" s="15" t="str">
        <x:v>IL,rms (A)</x:v>
      </x:c>
      <x:c r="E4" s="15" t="str">
        <x:v>P (W)</x:v>
      </x:c>
      <x:c r="F4" s="15" t="str">
        <x:v>CSV 文件</x:v>
      </x:c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9" t="str">
        <x:v>MaxPower_01</x:v>
      </x:c>
      <x:c r="B5" s="60" t="n">
        <x:v>10</x:v>
      </x:c>
      <x:c r="C5" s="61" t="n">
        <x:v>0.13827703772449093</x:v>
      </x:c>
      <x:c r="D5" s="61" t="n">
        <x:f>C5/B5</x:f>
        <x:v>0.013827703772449093</x:v>
      </x:c>
      <x:c r="E5" s="62" t="n">
        <x:f>C5*D5</x:f>
        <x:v>0.0019120539161860287</x:v>
      </x:c>
      <x:c r="F5" s="59" t="str">
        <x:v>MaxPower_01.data.csv</x:v>
      </x:c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9" t="str">
        <x:v>MaxPower_02</x:v>
      </x:c>
      <x:c r="B6" s="60" t="n">
        <x:v>25</x:v>
      </x:c>
      <x:c r="C6" s="61" t="n">
        <x:v>0.2377567300095726</x:v>
      </x:c>
      <x:c r="D6" s="61" t="n">
        <x:f>C6/B6</x:f>
        <x:v>0.009510269200382903</x:v>
      </x:c>
      <x:c r="E6" s="62" t="n">
        <x:f>C6*D6</x:f>
        <x:v>0.0022611305065937917</x:v>
      </x:c>
      <x:c r="F6" s="59" t="str">
        <x:v>MaxPower_02.data.csv</x:v>
      </x:c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9" t="str">
        <x:v>MaxPower_03</x:v>
      </x:c>
      <x:c r="B7" s="60" t="n">
        <x:v>50</x:v>
      </x:c>
      <x:c r="C7" s="61" t="n">
        <x:v>0.3090690504931811</x:v>
      </x:c>
      <x:c r="D7" s="61" t="n">
        <x:f>C7/B7</x:f>
        <x:v>0.006181381009863623</x:v>
      </x:c>
      <x:c r="E7" s="62" t="n">
        <x:f>C7*D7</x:f>
        <x:v>0.0019104735594551309</x:v>
      </x:c>
      <x:c r="F7" s="59" t="str">
        <x:v>MaxPower_03.data.csv</x:v>
      </x:c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9" t="str">
        <x:v>MaxPower_04</x:v>
      </x:c>
      <x:c r="B8" s="60" t="n">
        <x:v>100</x:v>
      </x:c>
      <x:c r="C8" s="61" t="n">
        <x:v>0.3614145696069344</x:v>
      </x:c>
      <x:c r="D8" s="61" t="n">
        <x:f>C8/B8</x:f>
        <x:v>0.003614145696069344</x:v>
      </x:c>
      <x:c r="E8" s="62" t="n">
        <x:f>C8*D8</x:f>
        <x:v>0.0013062049112416564</x:v>
      </x:c>
      <x:c r="F8" s="59" t="str">
        <x:v>MaxPower_04.data.csv</x:v>
      </x:c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9" t="str">
        <x:v>MaxPower_05</x:v>
      </x:c>
      <x:c r="B9" s="60" t="n">
        <x:v>200</x:v>
      </x:c>
      <x:c r="C9" s="61" t="n">
        <x:v>0.3939648645344462</x:v>
      </x:c>
      <x:c r="D9" s="61" t="n">
        <x:f>C9/B9</x:f>
        <x:v>0.0019698243226722307</x:v>
      </x:c>
      <x:c r="E9" s="62" t="n">
        <x:f>C9*D9</x:f>
        <x:v>0.0007760415724382226</x:v>
      </x:c>
      <x:c r="F9" s="59" t="str">
        <x:v>MaxPower_05.data.csv</x:v>
      </x:c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9" t="str">
        <x:v>MaxPower_06</x:v>
      </x:c>
      <x:c r="B10" s="60" t="n">
        <x:v>400</x:v>
      </x:c>
      <x:c r="C10" s="61" t="n">
        <x:v>0.41202468986261004</x:v>
      </x:c>
      <x:c r="D10" s="61" t="n">
        <x:f>C10/B10</x:f>
        <x:v>0.0010300617246565252</x:v>
      </x:c>
      <x:c r="E10" s="62" t="n">
        <x:f>C10*D10</x:f>
        <x:v>0.00042441086264095</x:v>
      </x:c>
      <x:c r="F10" s="59" t="str">
        <x:v>MaxPower_06.data.csv</x:v>
      </x:c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59" t="str">
        <x:v>MaxPower_07</x:v>
      </x:c>
      <x:c r="B11" s="60" t="n">
        <x:v>800</x:v>
      </x:c>
      <x:c r="C11" s="61" t="n">
        <x:v>0.42169636635509106</x:v>
      </x:c>
      <x:c r="D11" s="61" t="n">
        <x:f>C11/B11</x:f>
        <x:v>0.0005271204579438638</x:v>
      </x:c>
      <x:c r="E11" s="62" t="n">
        <x:f>C11*D11</x:f>
        <x:v>0.00022228478174635895</x:v>
      </x:c>
      <x:c r="F11" s="59" t="str">
        <x:v>MaxPower_07.data.csv</x:v>
      </x:c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59" t="str">
        <x:v>MaxPower_08</x:v>
      </x:c>
      <x:c r="B12" s="60" t="n">
        <x:v>1200</x:v>
      </x:c>
      <x:c r="C12" s="61" t="n">
        <x:v>0.4249956491962776</x:v>
      </x:c>
      <x:c r="D12" s="61" t="n">
        <x:f>C12/B12</x:f>
        <x:v>0.000354163040996898</x:v>
      </x:c>
      <x:c r="E12" s="62" t="n">
        <x:f>C12*D12</x:f>
        <x:v>0.00015051775152980453</x:v>
      </x:c>
      <x:c r="F12" s="59" t="str">
        <x:v>MaxPower_08.data.csv</x:v>
      </x:c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59" t="str">
        <x:v>MaxPower_09</x:v>
      </x:c>
      <x:c r="B13" s="60" t="n">
        <x:v>1600</x:v>
      </x:c>
      <x:c r="C13" s="61" t="n">
        <x:v>0.4266653109099898</x:v>
      </x:c>
      <x:c r="D13" s="61" t="n">
        <x:f>C13/B13</x:f>
        <x:v>0.0002666658193187436</x:v>
      </x:c>
      <x:c r="E13" s="62" t="n">
        <x:f>C13*D13</x:f>
        <x:v>0.00011377705470869892</x:v>
      </x:c>
      <x:c r="F13" s="59" t="str">
        <x:v>MaxPower_09.data.csv</x:v>
      </x:c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59" t="str">
        <x:v>MaxPower_10</x:v>
      </x:c>
      <x:c r="B14" s="60" t="n">
        <x:v>2000</x:v>
      </x:c>
      <x:c r="C14" s="61" t="n">
        <x:v>0.427674633796151</x:v>
      </x:c>
      <x:c r="D14" s="61" t="n">
        <x:f>C14/B14</x:f>
        <x:v>0.0002138373168980755</x:v>
      </x:c>
      <x:c r="E14" s="62" t="n">
        <x:f>C14*D14</x:f>
        <x:v>0.00009145279619633593</x:v>
      </x:c>
      <x:c r="F14" s="59" t="str">
        <x:v>MaxPower_10.data.csv</x:v>
      </x:c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65" t="str">
        <x:v>观察</x:v>
      </x:c>
      <x:c r="B17" s="65"/>
      <x:c r="C17" s="65"/>
      <x:c r="D17" s="65"/>
      <x:c r="E17" s="65"/>
      <x:c r="F17" s="65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69" t="str">
        <x:v>最大点</x:v>
      </x:c>
      <x:c r="B18" s="48" t="str">
        <x:v>25 Ω，P≈2.261 mW。</x:v>
      </x:c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69" t="str">
        <x:v>趋势</x:v>
      </x:c>
      <x:c r="B19" s="48" t="str">
        <x:v>负载从 10 Ω 增至 25 Ω 时功率上升，随后下降；峰值受等效源内阻和变比影响。</x:v>
      </x:c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</x:sheetData>
  <x:mergeCells>
    <x:mergeCell ref="A1:F1"/>
    <x:mergeCell ref="A2:F2"/>
    <x:mergeCell ref="A17:F17"/>
    <x:mergeCell ref="B18:F18"/>
    <x:mergeCell ref="B19:F19"/>
  </x:mergeCells>
  <x:conditionalFormatting sqref="E5:E14">
    <x:cfRule type="dataBar" priority="1">
      <x:dataBar>
        <x:cfvo type="min"/>
        <x:cfvo type="max"/>
        <x:color rgb="FF5B9BD5"/>
      </x:dataBar>
    </x:cfRule>
  </x:conditionalFormatting>
  <x:pageMargins left="0.7" right="0.7" top="0.75" bottom="0.75" header="0.3" footer="0.3"/>
  <x:drawing xmlns:r="http://schemas.openxmlformats.org/officeDocument/2006/relationships" r:id="Rfd85bae914054cf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40" hidden="0" customWidth="1"/>
    <x:col min="4" max="4" width="34" hidden="0" customWidth="1"/>
  </x:cols>
  <x:sheetData>
    <x:row r="1">
      <x:c r="A1" s="57" t="str">
        <x:v>实验三文件清单与复现说明</x:v>
      </x:c>
      <x:c r="B1" s="57"/>
      <x:c r="C1" s="57"/>
      <x:c r="D1" s="57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15" t="str">
        <x:v>类型</x:v>
      </x:c>
      <x:c r="B3" s="15" t="str">
        <x:v>文件/案例</x:v>
      </x:c>
      <x:c r="C3" s="15" t="str">
        <x:v>位置</x:v>
      </x:c>
      <x:c r="D3" s="15" t="str">
        <x:v>用途</x:v>
      </x:c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MS14</x:v>
      </x:c>
      <x:c r="B4" s="48" t="str">
        <x:v>Exp3_SelfInductance_Air.ms14</x:v>
      </x:c>
      <x:c r="C4" s="48" t="str">
        <x:v>D:\vscode\multisim\experiment3</x:v>
      </x:c>
      <x:c r="D4" s="48" t="str">
        <x:v>10 µH 空心等效自感 + 示波器模板</x:v>
      </x:c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MS14</x:v>
      </x:c>
      <x:c r="B5" s="48" t="str">
        <x:v>Exp3_SelfInductance_Core.ms14</x:v>
      </x:c>
      <x:c r="C5" s="48" t="str">
        <x:v>D:\vscode\multisim\experiment3</x:v>
      </x:c>
      <x:c r="D5" s="48" t="str">
        <x:v>100 µH 磁环等效自感 + 示波器模板</x:v>
      </x:c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MS14</x:v>
      </x:c>
      <x:c r="B6" s="48" t="str">
        <x:v>Exp3_Mutual_AC_Polarity.ms14</x:v>
      </x:c>
      <x:c r="C6" s="48" t="str">
        <x:v>D:\vscode\multisim\experiment3</x:v>
      </x:c>
      <x:c r="D6" s="48" t="str">
        <x:v>开路互感电压/同名端方向</x:v>
      </x:c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MS14</x:v>
      </x:c>
      <x:c r="B7" s="48" t="str">
        <x:v>Exp3_Self_L1_L2.ms14</x:v>
      </x:c>
      <x:c r="C7" s="48" t="str">
        <x:v>D:\vscode\multisim\experiment3</x:v>
      </x:c>
      <x:c r="D7" s="48" t="str">
        <x:v>L1、L2 开路测量模型</x:v>
      </x:c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MS14</x:v>
      </x:c>
      <x:c r="B8" s="48" t="str">
        <x:v>Exp3_Mutual_Series.ms14</x:v>
      </x:c>
      <x:c r="C8" s="48" t="str">
        <x:v>D:\vscode\multisim\experiment3</x:v>
      </x:c>
      <x:c r="D8" s="48" t="str">
        <x:v>正向/反向串联法</x:v>
      </x:c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MS14</x:v>
      </x:c>
      <x:c r="B9" s="48" t="str">
        <x:v>Exp3_MaxPower_Transfer.ms14</x:v>
      </x:c>
      <x:c r="C9" s="48" t="str">
        <x:v>D:\vscode\multisim\experiment3</x:v>
      </x:c>
      <x:c r="D9" s="48" t="str">
        <x:v>最大功率传输负载模型</x:v>
      </x:c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 t="str">
        <x:v>CSV</x:v>
      </x:c>
      <x:c r="B10" s="48" t="str">
        <x:v>data\Experiment3_Summary.csv</x:v>
      </x:c>
      <x:c r="C10" s="48" t="str">
        <x:v>D:\vscode\multisim\experiment3</x:v>
      </x:c>
      <x:c r="D10" s="48" t="str">
        <x:v>汇总表</x:v>
      </x:c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 t="str">
        <x:v>CSV</x:v>
      </x:c>
      <x:c r="B11" s="48" t="str">
        <x:v>data\*.data.csv</x:v>
      </x:c>
      <x:c r="C11" s="48" t="str">
        <x:v>D:\vscode\multisim\experiment3</x:v>
      </x:c>
      <x:c r="D11" s="48" t="str">
        <x:v>每个案例的时域原始数据</x:v>
      </x:c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65" t="str">
        <x:v>复现步骤</x:v>
      </x:c>
      <x:c r="B12" s="65"/>
      <x:c r="C12" s="65"/>
      <x:c r="D12" s="65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69" t="str">
        <x:v>1</x:v>
      </x:c>
      <x:c r="B13" s="48" t="str">
        <x:v>打开对应 .ms14 文件。</x:v>
      </x:c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69" t="str">
        <x:v>2</x:v>
      </x:c>
      <x:c r="B14" s="48" t="str">
        <x:v>运行 Transient Analysis；原始时域数据已导出为 data\*.data.csv。</x:v>
      </x:c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69" t="str">
        <x:v>3</x:v>
      </x:c>
      <x:c r="B15" s="48" t="str">
        <x:v>Excel 中的测量值来自 CSV 末 20% 数据的 RMS；公式列可直接复核。</x:v>
      </x:c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69" t="str">
        <x:v>注意</x:v>
      </x:c>
      <x:c r="B16" s="48" t="str">
        <x:v>互感开路法的 RMS 数据不含相位符号，因此正向/反向只用于模型方向对照；同名端最终判定应结合示波器相位。</x:v>
      </x:c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</x:sheetData>
  <x:mergeCells>
    <x:mergeCell ref="A1:D1"/>
    <x:mergeCell ref="A12:D12"/>
    <x:mergeCell ref="B13:D13"/>
    <x:mergeCell ref="B14:D14"/>
    <x:mergeCell ref="B15:D15"/>
    <x:mergeCell ref="B16:D16"/>
  </x:mergeCells>
  <x:pageMargins left="0.7" right="0.7" top="0.75" bottom="0.75" header="0.3" footer="0.3"/>
</x:worksheet>
</file>